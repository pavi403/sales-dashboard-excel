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NOVO\Documents\sales dashbroad excel\"/>
    </mc:Choice>
  </mc:AlternateContent>
  <bookViews>
    <workbookView xWindow="0" yWindow="0" windowWidth="23040" windowHeight="10524"/>
  </bookViews>
  <sheets>
    <sheet name="dataset" sheetId="1" r:id="rId1"/>
    <sheet name="pivot table" sheetId="2" r:id="rId2"/>
    <sheet name="Dashbroad" sheetId="3" r:id="rId3"/>
  </sheets>
  <definedNames>
    <definedName name="Slicer_Category">#N/A</definedName>
    <definedName name="Slicer_City">#N/A</definedName>
  </definedNames>
  <calcPr calcId="152511"/>
  <pivotCaches>
    <pivotCache cacheId="1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8" i="1" l="1"/>
  <c r="K2" i="1"/>
  <c r="K6" i="1"/>
  <c r="K4" i="1"/>
  <c r="I13" i="1"/>
  <c r="I10" i="1"/>
  <c r="I9" i="1"/>
  <c r="I8" i="1"/>
  <c r="I7" i="1"/>
  <c r="I6" i="1"/>
  <c r="I5" i="1"/>
  <c r="I4" i="1"/>
  <c r="I3" i="1"/>
  <c r="I2" i="1"/>
  <c r="D8" i="1"/>
  <c r="D7" i="1"/>
  <c r="D5" i="1"/>
  <c r="D12" i="1"/>
  <c r="D10" i="1"/>
  <c r="D13" i="1"/>
  <c r="D4" i="1"/>
  <c r="D2" i="1"/>
  <c r="D11" i="1"/>
  <c r="D9" i="1"/>
  <c r="D3" i="1"/>
  <c r="D6" i="1"/>
</calcChain>
</file>

<file path=xl/sharedStrings.xml><?xml version="1.0" encoding="utf-8"?>
<sst xmlns="http://schemas.openxmlformats.org/spreadsheetml/2006/main" count="62" uniqueCount="47">
  <si>
    <t>Order_ID</t>
  </si>
  <si>
    <t>Order_Date</t>
  </si>
  <si>
    <t>Customer_Name</t>
  </si>
  <si>
    <t>City</t>
  </si>
  <si>
    <t>Category</t>
  </si>
  <si>
    <t>Product</t>
  </si>
  <si>
    <t>Quantity</t>
  </si>
  <si>
    <t>Price</t>
  </si>
  <si>
    <t>Total_Amount</t>
  </si>
  <si>
    <t>Amit</t>
  </si>
  <si>
    <t>Electronics</t>
  </si>
  <si>
    <t>Headphones</t>
  </si>
  <si>
    <t>Priya</t>
  </si>
  <si>
    <t>Clothing</t>
  </si>
  <si>
    <t>T-Shirt</t>
  </si>
  <si>
    <t>Rahul</t>
  </si>
  <si>
    <t>Mumbai</t>
  </si>
  <si>
    <t>Mouse</t>
  </si>
  <si>
    <t>Sneha</t>
  </si>
  <si>
    <t>Furniture</t>
  </si>
  <si>
    <t>Chair</t>
  </si>
  <si>
    <t>Karan</t>
  </si>
  <si>
    <t>Delhi</t>
  </si>
  <si>
    <t>Keyboard</t>
  </si>
  <si>
    <t>Anjali</t>
  </si>
  <si>
    <t>Bangalore</t>
  </si>
  <si>
    <t>Jeans</t>
  </si>
  <si>
    <t>Vikram</t>
  </si>
  <si>
    <t>Table</t>
  </si>
  <si>
    <t>Meena</t>
  </si>
  <si>
    <t>Chennai</t>
  </si>
  <si>
    <t>Speaker</t>
  </si>
  <si>
    <t>Arun</t>
  </si>
  <si>
    <t>Jacket</t>
  </si>
  <si>
    <t>Divya</t>
  </si>
  <si>
    <t>Sofa</t>
  </si>
  <si>
    <t>Ravi</t>
  </si>
  <si>
    <t>Laptop</t>
  </si>
  <si>
    <t>Pooja</t>
  </si>
  <si>
    <t>Dress</t>
  </si>
  <si>
    <t>Row Labels</t>
  </si>
  <si>
    <t>Grand Total</t>
  </si>
  <si>
    <t>Sum of Total_Amount</t>
  </si>
  <si>
    <t>Total_sales</t>
  </si>
  <si>
    <t>Total_orders</t>
  </si>
  <si>
    <t>Total Quantity Sold</t>
  </si>
  <si>
    <t>Average Order Value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</si>
</sst>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quot;₹&quot;\ #,##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0" fillId="0" borderId="0" xfId="0" applyAlignment="1">
      <alignment horizontal="center"/>
    </xf>
    <xf numFmtId="0" fontId="1" fillId="0" borderId="0" xfId="0" applyFont="1" applyAlignment="1">
      <alignment horizontal="center" vertical="center"/>
    </xf>
    <xf numFmtId="0" fontId="1" fillId="0" borderId="0" xfId="0" applyFont="1" applyAlignment="1">
      <alignment horizontal="center"/>
    </xf>
    <xf numFmtId="0" fontId="0" fillId="3" borderId="1" xfId="0" applyFill="1" applyBorder="1" applyAlignment="1">
      <alignment horizontal="center"/>
    </xf>
    <xf numFmtId="0" fontId="0" fillId="2" borderId="1" xfId="0" applyFill="1" applyBorder="1" applyAlignment="1">
      <alignment horizontal="center"/>
    </xf>
    <xf numFmtId="0" fontId="0" fillId="3" borderId="1" xfId="0" applyFill="1" applyBorder="1"/>
    <xf numFmtId="3" fontId="0" fillId="0" borderId="0" xfId="0" applyNumberFormat="1"/>
    <xf numFmtId="168" fontId="0" fillId="2" borderId="1" xfId="0" applyNumberFormat="1" applyFill="1" applyBorder="1" applyAlignment="1">
      <alignment horizontal="center"/>
    </xf>
  </cellXfs>
  <cellStyles count="1">
    <cellStyle name="Normal" xfId="0" builtinId="0"/>
  </cellStyles>
  <dxfs count="1">
    <dxf>
      <numFmt numFmtId="19" formatCode="dd/mm/yyyy"/>
    </dxf>
  </dxfs>
  <tableStyles count="0" defaultTableStyle="TableStyleMedium2" defaultPivotStyle="PivotStyleLight16"/>
  <colors>
    <mruColors>
      <color rgb="FF2E75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[sales_dashboard_xlsx.xlsx]pivot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city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table'!$A$4:$A$8</c:f>
              <c:strCache>
                <c:ptCount val="4"/>
                <c:pt idx="0">
                  <c:v>Bangalore</c:v>
                </c:pt>
                <c:pt idx="1">
                  <c:v>Chennai</c:v>
                </c:pt>
                <c:pt idx="2">
                  <c:v>Delhi</c:v>
                </c:pt>
                <c:pt idx="3">
                  <c:v>Mumbai</c:v>
                </c:pt>
              </c:strCache>
            </c:strRef>
          </c:cat>
          <c:val>
            <c:numRef>
              <c:f>'pivot table'!$B$4:$B$8</c:f>
              <c:numCache>
                <c:formatCode>General</c:formatCode>
                <c:ptCount val="4"/>
                <c:pt idx="0">
                  <c:v>20500</c:v>
                </c:pt>
                <c:pt idx="1">
                  <c:v>14600</c:v>
                </c:pt>
                <c:pt idx="2">
                  <c:v>6200</c:v>
                </c:pt>
                <c:pt idx="3">
                  <c:v>57700</c:v>
                </c:pt>
              </c:numCache>
            </c:numRef>
          </c:val>
        </c:ser>
        <c:dLbls>
          <c:showLegendKey val="0"/>
          <c:showVal val="0"/>
          <c:showCatName val="0"/>
          <c:showSerName val="0"/>
          <c:showPercent val="0"/>
          <c:showBubbleSize val="0"/>
        </c:dLbls>
        <c:gapWidth val="182"/>
        <c:axId val="407382624"/>
        <c:axId val="407380272"/>
      </c:barChart>
      <c:catAx>
        <c:axId val="40738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380272"/>
        <c:crosses val="autoZero"/>
        <c:auto val="1"/>
        <c:lblAlgn val="ctr"/>
        <c:lblOffset val="100"/>
        <c:noMultiLvlLbl val="0"/>
      </c:catAx>
      <c:valAx>
        <c:axId val="407380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3826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[sales_dashboard_xlsx.xlsx]pivot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table'!$B$20</c:f>
              <c:strCache>
                <c:ptCount val="1"/>
                <c:pt idx="0">
                  <c:v>Total</c:v>
                </c:pt>
              </c:strCache>
            </c:strRef>
          </c:tx>
          <c:spPr>
            <a:solidFill>
              <a:schemeClr val="accent1"/>
            </a:solidFill>
            <a:ln>
              <a:noFill/>
            </a:ln>
            <a:effectLst/>
          </c:spPr>
          <c:invertIfNegative val="0"/>
          <c:cat>
            <c:strRef>
              <c:f>'pivot table'!$A$21:$A$24</c:f>
              <c:strCache>
                <c:ptCount val="3"/>
                <c:pt idx="0">
                  <c:v>Clothing</c:v>
                </c:pt>
                <c:pt idx="1">
                  <c:v>Electronics</c:v>
                </c:pt>
                <c:pt idx="2">
                  <c:v>Furniture</c:v>
                </c:pt>
              </c:strCache>
            </c:strRef>
          </c:cat>
          <c:val>
            <c:numRef>
              <c:f>'pivot table'!$B$21:$B$24</c:f>
              <c:numCache>
                <c:formatCode>General</c:formatCode>
                <c:ptCount val="3"/>
                <c:pt idx="0">
                  <c:v>14100</c:v>
                </c:pt>
                <c:pt idx="1">
                  <c:v>57900</c:v>
                </c:pt>
                <c:pt idx="2">
                  <c:v>27000</c:v>
                </c:pt>
              </c:numCache>
            </c:numRef>
          </c:val>
        </c:ser>
        <c:dLbls>
          <c:showLegendKey val="0"/>
          <c:showVal val="0"/>
          <c:showCatName val="0"/>
          <c:showSerName val="0"/>
          <c:showPercent val="0"/>
          <c:showBubbleSize val="0"/>
        </c:dLbls>
        <c:gapWidth val="182"/>
        <c:axId val="407377920"/>
        <c:axId val="407379488"/>
      </c:barChart>
      <c:catAx>
        <c:axId val="407377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379488"/>
        <c:crosses val="autoZero"/>
        <c:auto val="1"/>
        <c:lblAlgn val="ctr"/>
        <c:lblOffset val="100"/>
        <c:noMultiLvlLbl val="0"/>
      </c:catAx>
      <c:valAx>
        <c:axId val="407379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3779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[sales_dashboard_xlsx.xlsx]pivot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Sales</a:t>
            </a:r>
            <a:r>
              <a:rPr lang="en-US" sz="1800" b="1" baseline="0"/>
              <a:t> by city</a:t>
            </a:r>
            <a:endParaRPr lang="en-US" sz="1800" b="1"/>
          </a:p>
        </c:rich>
      </c:tx>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lumMod val="75000"/>
              </a:schemeClr>
            </a:solidFill>
            <a:ln>
              <a:noFill/>
            </a:ln>
            <a:effectLst/>
          </c:spPr>
          <c:invertIfNegative val="0"/>
          <c:cat>
            <c:strRef>
              <c:f>'pivot table'!$A$4:$A$8</c:f>
              <c:strCache>
                <c:ptCount val="4"/>
                <c:pt idx="0">
                  <c:v>Bangalore</c:v>
                </c:pt>
                <c:pt idx="1">
                  <c:v>Chennai</c:v>
                </c:pt>
                <c:pt idx="2">
                  <c:v>Delhi</c:v>
                </c:pt>
                <c:pt idx="3">
                  <c:v>Mumbai</c:v>
                </c:pt>
              </c:strCache>
            </c:strRef>
          </c:cat>
          <c:val>
            <c:numRef>
              <c:f>'pivot table'!$B$4:$B$8</c:f>
              <c:numCache>
                <c:formatCode>General</c:formatCode>
                <c:ptCount val="4"/>
                <c:pt idx="0">
                  <c:v>20500</c:v>
                </c:pt>
                <c:pt idx="1">
                  <c:v>14600</c:v>
                </c:pt>
                <c:pt idx="2">
                  <c:v>6200</c:v>
                </c:pt>
                <c:pt idx="3">
                  <c:v>57700</c:v>
                </c:pt>
              </c:numCache>
            </c:numRef>
          </c:val>
        </c:ser>
        <c:dLbls>
          <c:showLegendKey val="0"/>
          <c:showVal val="0"/>
          <c:showCatName val="0"/>
          <c:showSerName val="0"/>
          <c:showPercent val="0"/>
          <c:showBubbleSize val="0"/>
        </c:dLbls>
        <c:gapWidth val="182"/>
        <c:axId val="403202552"/>
        <c:axId val="403201376"/>
      </c:barChart>
      <c:catAx>
        <c:axId val="403202552"/>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201376"/>
        <c:crosses val="autoZero"/>
        <c:auto val="1"/>
        <c:lblAlgn val="ctr"/>
        <c:lblOffset val="100"/>
        <c:noMultiLvlLbl val="0"/>
      </c:catAx>
      <c:valAx>
        <c:axId val="403201376"/>
        <c:scaling>
          <c:orientation val="minMax"/>
        </c:scaling>
        <c:delete val="0"/>
        <c:axPos val="b"/>
        <c:numFmt formatCode="General" sourceLinked="1"/>
        <c:majorTickMark val="none"/>
        <c:minorTickMark val="none"/>
        <c:tickLblPos val="nextTo"/>
        <c:spPr>
          <a:solidFill>
            <a:schemeClr val="bg1"/>
          </a:solid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202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[sales_dashboard_xlsx.xlsx]pivot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Sales</a:t>
            </a:r>
            <a:r>
              <a:rPr lang="en-US" sz="1800" b="1" baseline="0"/>
              <a:t> by category</a:t>
            </a:r>
            <a:endParaRPr lang="en-US" sz="1800" b="1"/>
          </a:p>
        </c:rich>
      </c:tx>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75000"/>
            </a:schemeClr>
          </a:solidFill>
          <a:ln>
            <a:noFill/>
          </a:ln>
          <a:effectLst/>
        </c:spPr>
        <c:marker>
          <c:symbol val="none"/>
        </c:marker>
      </c:pivotFmt>
    </c:pivotFmts>
    <c:plotArea>
      <c:layout/>
      <c:barChart>
        <c:barDir val="bar"/>
        <c:grouping val="clustered"/>
        <c:varyColors val="0"/>
        <c:ser>
          <c:idx val="0"/>
          <c:order val="0"/>
          <c:tx>
            <c:strRef>
              <c:f>'pivot table'!$B$20</c:f>
              <c:strCache>
                <c:ptCount val="1"/>
                <c:pt idx="0">
                  <c:v>Total</c:v>
                </c:pt>
              </c:strCache>
            </c:strRef>
          </c:tx>
          <c:spPr>
            <a:solidFill>
              <a:schemeClr val="accent1">
                <a:lumMod val="75000"/>
              </a:schemeClr>
            </a:solidFill>
            <a:ln>
              <a:noFill/>
            </a:ln>
            <a:effectLst/>
          </c:spPr>
          <c:invertIfNegative val="0"/>
          <c:cat>
            <c:strRef>
              <c:f>'pivot table'!$A$21:$A$24</c:f>
              <c:strCache>
                <c:ptCount val="3"/>
                <c:pt idx="0">
                  <c:v>Clothing</c:v>
                </c:pt>
                <c:pt idx="1">
                  <c:v>Electronics</c:v>
                </c:pt>
                <c:pt idx="2">
                  <c:v>Furniture</c:v>
                </c:pt>
              </c:strCache>
            </c:strRef>
          </c:cat>
          <c:val>
            <c:numRef>
              <c:f>'pivot table'!$B$21:$B$24</c:f>
              <c:numCache>
                <c:formatCode>General</c:formatCode>
                <c:ptCount val="3"/>
                <c:pt idx="0">
                  <c:v>14100</c:v>
                </c:pt>
                <c:pt idx="1">
                  <c:v>57900</c:v>
                </c:pt>
                <c:pt idx="2">
                  <c:v>27000</c:v>
                </c:pt>
              </c:numCache>
            </c:numRef>
          </c:val>
        </c:ser>
        <c:dLbls>
          <c:showLegendKey val="0"/>
          <c:showVal val="0"/>
          <c:showCatName val="0"/>
          <c:showSerName val="0"/>
          <c:showPercent val="0"/>
          <c:showBubbleSize val="0"/>
        </c:dLbls>
        <c:gapWidth val="182"/>
        <c:axId val="413964024"/>
        <c:axId val="413960496"/>
      </c:barChart>
      <c:catAx>
        <c:axId val="413964024"/>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960496"/>
        <c:crosses val="autoZero"/>
        <c:auto val="1"/>
        <c:lblAlgn val="ctr"/>
        <c:lblOffset val="100"/>
        <c:noMultiLvlLbl val="0"/>
      </c:catAx>
      <c:valAx>
        <c:axId val="413960496"/>
        <c:scaling>
          <c:orientation val="minMax"/>
        </c:scaling>
        <c:delete val="0"/>
        <c:axPos val="b"/>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964024"/>
        <c:crosses val="autoZero"/>
        <c:crossBetween val="between"/>
      </c:valAx>
      <c:spPr>
        <a:noFill/>
        <a:ln>
          <a:noFill/>
        </a:ln>
        <a:effectLst/>
      </c:spPr>
    </c:plotArea>
    <c:plotVisOnly val="1"/>
    <c:dispBlanksAs val="gap"/>
    <c:showDLblsOverMax val="0"/>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167640</xdr:rowOff>
    </xdr:from>
    <xdr:to>
      <xdr:col>9</xdr:col>
      <xdr:colOff>373380</xdr:colOff>
      <xdr:row>15</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18</xdr:row>
      <xdr:rowOff>167640</xdr:rowOff>
    </xdr:from>
    <xdr:to>
      <xdr:col>9</xdr:col>
      <xdr:colOff>541020</xdr:colOff>
      <xdr:row>32</xdr:row>
      <xdr:rowOff>102870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22860</xdr:colOff>
      <xdr:row>4</xdr:row>
      <xdr:rowOff>7620</xdr:rowOff>
    </xdr:from>
    <xdr:to>
      <xdr:col>3</xdr:col>
      <xdr:colOff>601980</xdr:colOff>
      <xdr:row>9</xdr:row>
      <xdr:rowOff>7620</xdr:rowOff>
    </xdr:to>
    <xdr:sp macro="" textlink="dataset!K2">
      <xdr:nvSpPr>
        <xdr:cNvPr id="2" name="Rectangle 1"/>
        <xdr:cNvSpPr/>
      </xdr:nvSpPr>
      <xdr:spPr>
        <a:xfrm>
          <a:off x="632460" y="739140"/>
          <a:ext cx="1798320" cy="914400"/>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A51CBB1F-3C38-49DA-B48F-512324D3B995}" type="TxLink">
            <a:rPr lang="en-US" sz="2800" b="1" i="0" u="none" strike="noStrike">
              <a:solidFill>
                <a:srgbClr val="000000"/>
              </a:solidFill>
              <a:latin typeface="Calibri"/>
              <a:ea typeface="Calibri"/>
              <a:cs typeface="Calibri"/>
            </a:rPr>
            <a:pPr algn="ctr"/>
            <a:t>₹ 99,000</a:t>
          </a:fld>
          <a:endParaRPr lang="en-IN" sz="2800" b="1" i="0"/>
        </a:p>
      </xdr:txBody>
    </xdr:sp>
    <xdr:clientData/>
  </xdr:twoCellAnchor>
  <xdr:twoCellAnchor>
    <xdr:from>
      <xdr:col>3</xdr:col>
      <xdr:colOff>601980</xdr:colOff>
      <xdr:row>4</xdr:row>
      <xdr:rowOff>15240</xdr:rowOff>
    </xdr:from>
    <xdr:to>
      <xdr:col>7</xdr:col>
      <xdr:colOff>15240</xdr:colOff>
      <xdr:row>9</xdr:row>
      <xdr:rowOff>7620</xdr:rowOff>
    </xdr:to>
    <xdr:sp macro="" textlink="dataset!K4">
      <xdr:nvSpPr>
        <xdr:cNvPr id="3" name="Rectangle 2"/>
        <xdr:cNvSpPr/>
      </xdr:nvSpPr>
      <xdr:spPr>
        <a:xfrm>
          <a:off x="2430780" y="198120"/>
          <a:ext cx="1851660" cy="906780"/>
        </a:xfrm>
        <a:prstGeom prst="rect">
          <a:avLst/>
        </a:prstGeom>
        <a:solidFill>
          <a:srgbClr val="2E75B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1758A2DB-7234-4F0E-918A-5ED388BA9614}" type="TxLink">
            <a:rPr lang="en-US" sz="2800" b="1" i="0" u="none" strike="noStrike">
              <a:solidFill>
                <a:srgbClr val="000000"/>
              </a:solidFill>
              <a:latin typeface="Calibri"/>
              <a:ea typeface="Calibri"/>
              <a:cs typeface="Calibri"/>
            </a:rPr>
            <a:t>12</a:t>
          </a:fld>
          <a:endParaRPr lang="en-IN" sz="2800" b="1"/>
        </a:p>
      </xdr:txBody>
    </xdr:sp>
    <xdr:clientData/>
  </xdr:twoCellAnchor>
  <xdr:twoCellAnchor>
    <xdr:from>
      <xdr:col>7</xdr:col>
      <xdr:colOff>22860</xdr:colOff>
      <xdr:row>4</xdr:row>
      <xdr:rowOff>15240</xdr:rowOff>
    </xdr:from>
    <xdr:to>
      <xdr:col>11</xdr:col>
      <xdr:colOff>7620</xdr:colOff>
      <xdr:row>9</xdr:row>
      <xdr:rowOff>7620</xdr:rowOff>
    </xdr:to>
    <xdr:sp macro="" textlink="dataset!K6">
      <xdr:nvSpPr>
        <xdr:cNvPr id="4" name="Rectangle 3"/>
        <xdr:cNvSpPr/>
      </xdr:nvSpPr>
      <xdr:spPr>
        <a:xfrm>
          <a:off x="4290060" y="198120"/>
          <a:ext cx="2423160" cy="906780"/>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C13CC186-CED9-43D6-A730-2FB823571813}" type="TxLink">
            <a:rPr lang="en-US" sz="2800" b="1" i="0" u="none" strike="noStrike">
              <a:solidFill>
                <a:srgbClr val="000000"/>
              </a:solidFill>
              <a:latin typeface="Calibri"/>
              <a:ea typeface="Calibri"/>
              <a:cs typeface="Calibri"/>
            </a:rPr>
            <a:t>20</a:t>
          </a:fld>
          <a:endParaRPr lang="en-IN" sz="2800" b="1"/>
        </a:p>
      </xdr:txBody>
    </xdr:sp>
    <xdr:clientData/>
  </xdr:twoCellAnchor>
  <xdr:twoCellAnchor>
    <xdr:from>
      <xdr:col>11</xdr:col>
      <xdr:colOff>15240</xdr:colOff>
      <xdr:row>4</xdr:row>
      <xdr:rowOff>7620</xdr:rowOff>
    </xdr:from>
    <xdr:to>
      <xdr:col>15</xdr:col>
      <xdr:colOff>0</xdr:colOff>
      <xdr:row>9</xdr:row>
      <xdr:rowOff>7620</xdr:rowOff>
    </xdr:to>
    <xdr:sp macro="" textlink="dataset!K8">
      <xdr:nvSpPr>
        <xdr:cNvPr id="5" name="Rectangle 4"/>
        <xdr:cNvSpPr/>
      </xdr:nvSpPr>
      <xdr:spPr>
        <a:xfrm>
          <a:off x="6720840" y="739140"/>
          <a:ext cx="2423160" cy="914400"/>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04E7BEC8-FEC8-46AE-9807-497BFA85780A}" type="TxLink">
            <a:rPr lang="en-US" sz="2800" b="1" i="0" u="none" strike="noStrike">
              <a:solidFill>
                <a:srgbClr val="000000"/>
              </a:solidFill>
              <a:latin typeface="Calibri"/>
              <a:ea typeface="Calibri"/>
              <a:cs typeface="Calibri"/>
            </a:rPr>
            <a:pPr algn="ctr"/>
            <a:t>₹ 8,250</a:t>
          </a:fld>
          <a:endParaRPr lang="en-IN" sz="2800" b="1"/>
        </a:p>
      </xdr:txBody>
    </xdr:sp>
    <xdr:clientData/>
  </xdr:twoCellAnchor>
  <xdr:oneCellAnchor>
    <xdr:from>
      <xdr:col>1</xdr:col>
      <xdr:colOff>434340</xdr:colOff>
      <xdr:row>4</xdr:row>
      <xdr:rowOff>45720</xdr:rowOff>
    </xdr:from>
    <xdr:ext cx="2072640" cy="422626"/>
    <xdr:sp macro="" textlink="">
      <xdr:nvSpPr>
        <xdr:cNvPr id="6" name="TextBox 5"/>
        <xdr:cNvSpPr txBox="1"/>
      </xdr:nvSpPr>
      <xdr:spPr>
        <a:xfrm>
          <a:off x="1043940" y="228600"/>
          <a:ext cx="2072640" cy="422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IN" sz="1400" b="1">
              <a:solidFill>
                <a:schemeClr val="tx1"/>
              </a:solidFill>
            </a:rPr>
            <a:t>Total</a:t>
          </a:r>
          <a:r>
            <a:rPr lang="en-IN" sz="1400" b="1" baseline="0">
              <a:solidFill>
                <a:schemeClr val="tx1"/>
              </a:solidFill>
            </a:rPr>
            <a:t> Sales</a:t>
          </a:r>
          <a:endParaRPr lang="en-IN" sz="1400" b="1">
            <a:solidFill>
              <a:schemeClr val="tx1"/>
            </a:solidFill>
          </a:endParaRPr>
        </a:p>
      </xdr:txBody>
    </xdr:sp>
    <xdr:clientData/>
  </xdr:oneCellAnchor>
  <xdr:oneCellAnchor>
    <xdr:from>
      <xdr:col>4</xdr:col>
      <xdr:colOff>388620</xdr:colOff>
      <xdr:row>4</xdr:row>
      <xdr:rowOff>114300</xdr:rowOff>
    </xdr:from>
    <xdr:ext cx="1113062" cy="311496"/>
    <xdr:sp macro="" textlink="">
      <xdr:nvSpPr>
        <xdr:cNvPr id="7" name="TextBox 6"/>
        <xdr:cNvSpPr txBox="1"/>
      </xdr:nvSpPr>
      <xdr:spPr>
        <a:xfrm>
          <a:off x="2827020" y="297180"/>
          <a:ext cx="111306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tx1"/>
              </a:solidFill>
            </a:rPr>
            <a:t>Total Orders</a:t>
          </a:r>
        </a:p>
      </xdr:txBody>
    </xdr:sp>
    <xdr:clientData/>
  </xdr:oneCellAnchor>
  <xdr:oneCellAnchor>
    <xdr:from>
      <xdr:col>7</xdr:col>
      <xdr:colOff>594360</xdr:colOff>
      <xdr:row>4</xdr:row>
      <xdr:rowOff>137160</xdr:rowOff>
    </xdr:from>
    <xdr:ext cx="1263808" cy="311496"/>
    <xdr:sp macro="" textlink="">
      <xdr:nvSpPr>
        <xdr:cNvPr id="8" name="TextBox 7"/>
        <xdr:cNvSpPr txBox="1"/>
      </xdr:nvSpPr>
      <xdr:spPr>
        <a:xfrm>
          <a:off x="4861560" y="320040"/>
          <a:ext cx="126380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tx1"/>
              </a:solidFill>
            </a:rPr>
            <a:t>Total Quantity</a:t>
          </a:r>
        </a:p>
      </xdr:txBody>
    </xdr:sp>
    <xdr:clientData/>
  </xdr:oneCellAnchor>
  <xdr:oneCellAnchor>
    <xdr:from>
      <xdr:col>11</xdr:col>
      <xdr:colOff>396240</xdr:colOff>
      <xdr:row>4</xdr:row>
      <xdr:rowOff>114300</xdr:rowOff>
    </xdr:from>
    <xdr:ext cx="1739515" cy="311496"/>
    <xdr:sp macro="" textlink="">
      <xdr:nvSpPr>
        <xdr:cNvPr id="9" name="TextBox 8"/>
        <xdr:cNvSpPr txBox="1"/>
      </xdr:nvSpPr>
      <xdr:spPr>
        <a:xfrm>
          <a:off x="7101840" y="297180"/>
          <a:ext cx="173951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tx1"/>
              </a:solidFill>
            </a:rPr>
            <a:t>Average Order Value</a:t>
          </a:r>
        </a:p>
      </xdr:txBody>
    </xdr:sp>
    <xdr:clientData/>
  </xdr:oneCellAnchor>
  <xdr:twoCellAnchor>
    <xdr:from>
      <xdr:col>1</xdr:col>
      <xdr:colOff>7620</xdr:colOff>
      <xdr:row>9</xdr:row>
      <xdr:rowOff>30480</xdr:rowOff>
    </xdr:from>
    <xdr:to>
      <xdr:col>7</xdr:col>
      <xdr:colOff>495300</xdr:colOff>
      <xdr:row>24</xdr:row>
      <xdr:rowOff>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518160</xdr:colOff>
      <xdr:row>9</xdr:row>
      <xdr:rowOff>30480</xdr:rowOff>
    </xdr:from>
    <xdr:to>
      <xdr:col>15</xdr:col>
      <xdr:colOff>0</xdr:colOff>
      <xdr:row>24</xdr:row>
      <xdr:rowOff>22860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15240</xdr:colOff>
      <xdr:row>1</xdr:row>
      <xdr:rowOff>38100</xdr:rowOff>
    </xdr:from>
    <xdr:to>
      <xdr:col>18</xdr:col>
      <xdr:colOff>15240</xdr:colOff>
      <xdr:row>11</xdr:row>
      <xdr:rowOff>175260</xdr:rowOff>
    </xdr:to>
    <mc:AlternateContent xmlns:mc="http://schemas.openxmlformats.org/markup-compatibility/2006">
      <mc:Choice xmlns:a14="http://schemas.microsoft.com/office/drawing/2010/main" Requires="a14">
        <xdr:graphicFrame macro="">
          <xdr:nvGraphicFramePr>
            <xdr:cNvPr id="22"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181874" y="219169"/>
              <a:ext cx="1833326" cy="1947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xdr:colOff>
      <xdr:row>11</xdr:row>
      <xdr:rowOff>167640</xdr:rowOff>
    </xdr:from>
    <xdr:to>
      <xdr:col>18</xdr:col>
      <xdr:colOff>15240</xdr:colOff>
      <xdr:row>23</xdr:row>
      <xdr:rowOff>137160</xdr:rowOff>
    </xdr:to>
    <mc:AlternateContent xmlns:mc="http://schemas.openxmlformats.org/markup-compatibility/2006">
      <mc:Choice xmlns:a14="http://schemas.microsoft.com/office/drawing/2010/main" Requires="a14">
        <xdr:graphicFrame macro="">
          <xdr:nvGraphicFramePr>
            <xdr:cNvPr id="2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181874" y="2159402"/>
              <a:ext cx="1833326" cy="2142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15240</xdr:colOff>
      <xdr:row>1</xdr:row>
      <xdr:rowOff>22860</xdr:rowOff>
    </xdr:from>
    <xdr:to>
      <xdr:col>15</xdr:col>
      <xdr:colOff>15240</xdr:colOff>
      <xdr:row>4</xdr:row>
      <xdr:rowOff>0</xdr:rowOff>
    </xdr:to>
    <xdr:sp macro="" textlink="">
      <xdr:nvSpPr>
        <xdr:cNvPr id="24" name="Rectangle 23"/>
        <xdr:cNvSpPr/>
      </xdr:nvSpPr>
      <xdr:spPr>
        <a:xfrm>
          <a:off x="624840" y="205740"/>
          <a:ext cx="8534400" cy="52578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t>                              </a:t>
          </a:r>
          <a:r>
            <a:rPr lang="en-IN" sz="2400" b="1">
              <a:solidFill>
                <a:schemeClr val="accent1">
                  <a:lumMod val="75000"/>
                </a:schemeClr>
              </a:solidFill>
            </a:rPr>
            <a:t>Sales Performance Dashboard</a:t>
          </a:r>
        </a:p>
      </xdr:txBody>
    </xdr:sp>
    <xdr:clientData/>
  </xdr:twoCellAnchor>
  <xdr:twoCellAnchor>
    <xdr:from>
      <xdr:col>10</xdr:col>
      <xdr:colOff>0</xdr:colOff>
      <xdr:row>33</xdr:row>
      <xdr:rowOff>137160</xdr:rowOff>
    </xdr:from>
    <xdr:to>
      <xdr:col>11</xdr:col>
      <xdr:colOff>76200</xdr:colOff>
      <xdr:row>33</xdr:row>
      <xdr:rowOff>182879</xdr:rowOff>
    </xdr:to>
    <xdr:sp macro="" textlink="">
      <xdr:nvSpPr>
        <xdr:cNvPr id="3076" name="Text Box 4"/>
        <xdr:cNvSpPr txBox="1">
          <a:spLocks noChangeArrowheads="1"/>
        </xdr:cNvSpPr>
      </xdr:nvSpPr>
      <xdr:spPr bwMode="auto">
        <a:xfrm>
          <a:off x="6096000" y="6172200"/>
          <a:ext cx="685800" cy="45719"/>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131.782784953706" createdVersion="5" refreshedVersion="5" minRefreshableVersion="3" recordCount="12">
  <cacheSource type="worksheet">
    <worksheetSource name="Table4"/>
  </cacheSource>
  <cacheFields count="9">
    <cacheField name="Order_ID" numFmtId="0">
      <sharedItems containsSemiMixedTypes="0" containsString="0" containsNumber="1" containsInteger="1" minValue="1001" maxValue="1012" count="12">
        <n v="1001"/>
        <n v="1002"/>
        <n v="1003"/>
        <n v="1004"/>
        <n v="1005"/>
        <n v="1006"/>
        <n v="1007"/>
        <n v="1008"/>
        <n v="1009"/>
        <n v="1010"/>
        <n v="1011"/>
        <n v="1012"/>
      </sharedItems>
    </cacheField>
    <cacheField name="Order_Date" numFmtId="14">
      <sharedItems containsSemiMixedTypes="0" containsNonDate="0" containsDate="1" containsString="0" minDate="2024-01-01T00:00:00" maxDate="2024-01-13T00:00:00" count="12">
        <d v="2024-01-01T00:00:00"/>
        <d v="2024-01-02T00:00:00"/>
        <d v="2024-01-03T00:00:00"/>
        <d v="2024-01-04T00:00:00"/>
        <d v="2024-01-05T00:00:00"/>
        <d v="2024-01-06T00:00:00"/>
        <d v="2024-01-07T00:00:00"/>
        <d v="2024-01-08T00:00:00"/>
        <d v="2024-01-09T00:00:00"/>
        <d v="2024-01-10T00:00:00"/>
        <d v="2024-01-11T00:00:00"/>
        <d v="2024-01-12T00:00:00"/>
      </sharedItems>
    </cacheField>
    <cacheField name="Customer_Name" numFmtId="0">
      <sharedItems count="12">
        <s v="Amit"/>
        <s v="Priya"/>
        <s v="Rahul"/>
        <s v="Sneha"/>
        <s v="Karan"/>
        <s v="Anjali"/>
        <s v="Vikram"/>
        <s v="Meena"/>
        <s v="Arun"/>
        <s v="Divya"/>
        <s v="Ravi"/>
        <s v="Pooja"/>
      </sharedItems>
    </cacheField>
    <cacheField name="City" numFmtId="0">
      <sharedItems count="4">
        <s v="Chennai"/>
        <s v="Bangalore"/>
        <s v="Mumbai"/>
        <s v="Delhi"/>
      </sharedItems>
    </cacheField>
    <cacheField name="Category" numFmtId="0">
      <sharedItems count="3">
        <s v="Electronics"/>
        <s v="Clothing"/>
        <s v="Furniture"/>
      </sharedItems>
    </cacheField>
    <cacheField name="Product" numFmtId="0">
      <sharedItems count="12">
        <s v="Headphones"/>
        <s v="T-Shirt"/>
        <s v="Mouse"/>
        <s v="Chair"/>
        <s v="Keyboard"/>
        <s v="Jeans"/>
        <s v="Table"/>
        <s v="Speaker"/>
        <s v="Jacket"/>
        <s v="Sofa"/>
        <s v="Laptop"/>
        <s v="Dress"/>
      </sharedItems>
    </cacheField>
    <cacheField name="Quantity" numFmtId="0">
      <sharedItems containsSemiMixedTypes="0" containsString="0" containsNumber="1" containsInteger="1" minValue="1" maxValue="3" count="3">
        <n v="2"/>
        <n v="3"/>
        <n v="1"/>
      </sharedItems>
    </cacheField>
    <cacheField name="Price" numFmtId="0">
      <sharedItems containsSemiMixedTypes="0" containsString="0" containsNumber="1" containsInteger="1" minValue="500" maxValue="50000" count="10">
        <n v="1500"/>
        <n v="500"/>
        <n v="700"/>
        <n v="2500"/>
        <n v="1200"/>
        <n v="2000"/>
        <n v="7000"/>
        <n v="3000"/>
        <n v="15000"/>
        <n v="50000"/>
      </sharedItems>
    </cacheField>
    <cacheField name="Total_Amount" numFmtId="0">
      <sharedItems containsSemiMixedTypes="0" containsString="0" containsNumber="1" containsInteger="1" minValue="700" maxValue="50000" count="10">
        <n v="3000"/>
        <n v="1500"/>
        <n v="700"/>
        <n v="5000"/>
        <n v="1200"/>
        <n v="4000"/>
        <n v="7000"/>
        <n v="15000"/>
        <n v="50000"/>
        <n v="360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
  <r>
    <x v="0"/>
    <x v="0"/>
    <x v="0"/>
    <x v="0"/>
    <x v="0"/>
    <x v="0"/>
    <x v="0"/>
    <x v="0"/>
    <x v="0"/>
  </r>
  <r>
    <x v="1"/>
    <x v="1"/>
    <x v="1"/>
    <x v="1"/>
    <x v="1"/>
    <x v="1"/>
    <x v="1"/>
    <x v="1"/>
    <x v="1"/>
  </r>
  <r>
    <x v="2"/>
    <x v="2"/>
    <x v="2"/>
    <x v="2"/>
    <x v="0"/>
    <x v="2"/>
    <x v="2"/>
    <x v="2"/>
    <x v="2"/>
  </r>
  <r>
    <x v="3"/>
    <x v="3"/>
    <x v="3"/>
    <x v="0"/>
    <x v="2"/>
    <x v="3"/>
    <x v="0"/>
    <x v="3"/>
    <x v="3"/>
  </r>
  <r>
    <x v="4"/>
    <x v="4"/>
    <x v="4"/>
    <x v="3"/>
    <x v="0"/>
    <x v="4"/>
    <x v="2"/>
    <x v="4"/>
    <x v="4"/>
  </r>
  <r>
    <x v="5"/>
    <x v="5"/>
    <x v="5"/>
    <x v="1"/>
    <x v="1"/>
    <x v="5"/>
    <x v="0"/>
    <x v="5"/>
    <x v="5"/>
  </r>
  <r>
    <x v="6"/>
    <x v="6"/>
    <x v="6"/>
    <x v="2"/>
    <x v="2"/>
    <x v="6"/>
    <x v="2"/>
    <x v="6"/>
    <x v="6"/>
  </r>
  <r>
    <x v="7"/>
    <x v="7"/>
    <x v="7"/>
    <x v="0"/>
    <x v="0"/>
    <x v="7"/>
    <x v="2"/>
    <x v="7"/>
    <x v="0"/>
  </r>
  <r>
    <x v="8"/>
    <x v="8"/>
    <x v="8"/>
    <x v="3"/>
    <x v="1"/>
    <x v="8"/>
    <x v="0"/>
    <x v="3"/>
    <x v="3"/>
  </r>
  <r>
    <x v="9"/>
    <x v="9"/>
    <x v="9"/>
    <x v="1"/>
    <x v="2"/>
    <x v="9"/>
    <x v="2"/>
    <x v="8"/>
    <x v="7"/>
  </r>
  <r>
    <x v="10"/>
    <x v="10"/>
    <x v="10"/>
    <x v="2"/>
    <x v="0"/>
    <x v="10"/>
    <x v="2"/>
    <x v="9"/>
    <x v="8"/>
  </r>
  <r>
    <x v="11"/>
    <x v="11"/>
    <x v="11"/>
    <x v="0"/>
    <x v="1"/>
    <x v="11"/>
    <x v="1"/>
    <x v="4"/>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20:B24" firstHeaderRow="1" firstDataRow="1" firstDataCol="1"/>
  <pivotFields count="9">
    <pivotField showAll="0"/>
    <pivotField numFmtId="14" showAll="0"/>
    <pivotField showAll="0"/>
    <pivotField showAll="0">
      <items count="5">
        <item x="1"/>
        <item x="0"/>
        <item x="3"/>
        <item x="2"/>
        <item t="default"/>
      </items>
    </pivotField>
    <pivotField axis="axisRow" showAll="0">
      <items count="4">
        <item x="1"/>
        <item x="0"/>
        <item x="2"/>
        <item t="default"/>
      </items>
    </pivotField>
    <pivotField showAll="0"/>
    <pivotField showAll="0"/>
    <pivotField showAll="0"/>
    <pivotField dataField="1" showAll="0"/>
  </pivotFields>
  <rowFields count="1">
    <field x="4"/>
  </rowFields>
  <rowItems count="4">
    <i>
      <x/>
    </i>
    <i>
      <x v="1"/>
    </i>
    <i>
      <x v="2"/>
    </i>
    <i t="grand">
      <x/>
    </i>
  </rowItems>
  <colItems count="1">
    <i/>
  </colItems>
  <dataFields count="1">
    <dataField name="Sum of Total_Amoun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8" firstHeaderRow="1" firstDataRow="1" firstDataCol="1"/>
  <pivotFields count="9">
    <pivotField showAll="0"/>
    <pivotField numFmtId="14" showAll="0"/>
    <pivotField showAll="0"/>
    <pivotField axis="axisRow" showAll="0">
      <items count="5">
        <item x="1"/>
        <item x="0"/>
        <item x="3"/>
        <item x="2"/>
        <item t="default"/>
      </items>
    </pivotField>
    <pivotField showAll="0">
      <items count="4">
        <item x="1"/>
        <item x="0"/>
        <item x="2"/>
        <item t="default"/>
      </items>
    </pivotField>
    <pivotField showAll="0"/>
    <pivotField showAll="0"/>
    <pivotField showAll="0"/>
    <pivotField dataField="1" showAll="0"/>
  </pivotFields>
  <rowFields count="1">
    <field x="3"/>
  </rowFields>
  <rowItems count="5">
    <i>
      <x/>
    </i>
    <i>
      <x v="1"/>
    </i>
    <i>
      <x v="2"/>
    </i>
    <i>
      <x v="3"/>
    </i>
    <i t="grand">
      <x/>
    </i>
  </rowItems>
  <colItems count="1">
    <i/>
  </colItems>
  <dataFields count="1">
    <dataField name="Sum of Total_Amount" fld="8"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PivotTable1"/>
    <pivotTable tabId="2" name="PivotTable3"/>
  </pivotTables>
  <data>
    <tabular pivotCacheId="1">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2" name="PivotTable3"/>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rowHeight="234950"/>
  <slicer name="Category" cache="Slicer_Category" caption="Category" rowHeight="234950"/>
</slicers>
</file>

<file path=xl/tables/table1.xml><?xml version="1.0" encoding="utf-8"?>
<table xmlns="http://schemas.openxmlformats.org/spreadsheetml/2006/main" id="4" name="Table4" displayName="Table4" ref="A1:I13" totalsRowShown="0">
  <autoFilter ref="A1:I13"/>
  <tableColumns count="9">
    <tableColumn id="1" name="Order_ID"/>
    <tableColumn id="2" name="Order_Date" dataDxfId="0"/>
    <tableColumn id="3" name="Customer_Name"/>
    <tableColumn id="4" name="City">
      <calculatedColumnFormula>PROPER(TRIM(Table4[[#This Row],[City]]))</calculatedColumnFormula>
    </tableColumn>
    <tableColumn id="5" name="Category"/>
    <tableColumn id="6" name="Product"/>
    <tableColumn id="7" name="Quantity"/>
    <tableColumn id="8" name="Price"/>
    <tableColumn id="9" name="Total_Amount">
      <calculatedColumnFormula>(Table4[[#This Row],[Quantity]]*Table4[[#This Row],[Price]])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tabSelected="1" zoomScale="140" workbookViewId="0">
      <selection activeCell="L24" sqref="L24"/>
    </sheetView>
  </sheetViews>
  <sheetFormatPr defaultRowHeight="14.4" x14ac:dyDescent="0.3"/>
  <cols>
    <col min="1" max="1" width="10.44140625" customWidth="1"/>
    <col min="2" max="2" width="12.5546875" customWidth="1"/>
    <col min="3" max="3" width="17" customWidth="1"/>
    <col min="5" max="5" width="10.44140625" customWidth="1"/>
    <col min="6" max="6" width="11.109375" bestFit="1" customWidth="1"/>
    <col min="7" max="7" width="10.21875" customWidth="1"/>
    <col min="9" max="9" width="15" customWidth="1"/>
    <col min="11" max="11" width="17.88671875" bestFit="1" customWidth="1"/>
  </cols>
  <sheetData>
    <row r="1" spans="1:11" x14ac:dyDescent="0.3">
      <c r="A1" t="s">
        <v>0</v>
      </c>
      <c r="B1" t="s">
        <v>1</v>
      </c>
      <c r="C1" t="s">
        <v>2</v>
      </c>
      <c r="D1" t="s">
        <v>3</v>
      </c>
      <c r="E1" t="s">
        <v>4</v>
      </c>
      <c r="F1" t="s">
        <v>5</v>
      </c>
      <c r="G1" t="s">
        <v>6</v>
      </c>
      <c r="H1" t="s">
        <v>7</v>
      </c>
      <c r="I1" t="s">
        <v>8</v>
      </c>
      <c r="K1" s="9" t="s">
        <v>43</v>
      </c>
    </row>
    <row r="2" spans="1:11" x14ac:dyDescent="0.3">
      <c r="A2">
        <v>1001</v>
      </c>
      <c r="B2" s="1">
        <v>45292</v>
      </c>
      <c r="C2" t="s">
        <v>9</v>
      </c>
      <c r="D2" t="str">
        <f ca="1">PROPER(TRIM(Table4[[#This Row],[City]]))</f>
        <v>Chennai</v>
      </c>
      <c r="E2" t="s">
        <v>10</v>
      </c>
      <c r="F2" t="s">
        <v>11</v>
      </c>
      <c r="G2">
        <v>2</v>
      </c>
      <c r="H2">
        <v>1500</v>
      </c>
      <c r="I2">
        <f>(Table4[[#This Row],[Quantity]]*Table4[[#This Row],[Price]])</f>
        <v>3000</v>
      </c>
      <c r="K2" s="13">
        <f>SUM(Table4[Total_Amount])</f>
        <v>99000</v>
      </c>
    </row>
    <row r="3" spans="1:11" x14ac:dyDescent="0.3">
      <c r="A3">
        <v>1002</v>
      </c>
      <c r="B3" s="1">
        <v>45293</v>
      </c>
      <c r="C3" t="s">
        <v>12</v>
      </c>
      <c r="D3" t="str">
        <f ca="1">PROPER(TRIM(Table4[[#This Row],[City]]))</f>
        <v>Bangalore</v>
      </c>
      <c r="E3" t="s">
        <v>13</v>
      </c>
      <c r="F3" t="s">
        <v>14</v>
      </c>
      <c r="G3">
        <v>3</v>
      </c>
      <c r="H3">
        <v>500</v>
      </c>
      <c r="I3">
        <f>(Table4[[#This Row],[Quantity]]*Table4[[#This Row],[Price]])</f>
        <v>1500</v>
      </c>
      <c r="K3" s="9" t="s">
        <v>44</v>
      </c>
    </row>
    <row r="4" spans="1:11" x14ac:dyDescent="0.3">
      <c r="A4">
        <v>1003</v>
      </c>
      <c r="B4" s="1">
        <v>45294</v>
      </c>
      <c r="C4" t="s">
        <v>15</v>
      </c>
      <c r="D4" t="str">
        <f ca="1">PROPER(TRIM(Table4[[#This Row],[City]]))</f>
        <v>Mumbai</v>
      </c>
      <c r="E4" t="s">
        <v>10</v>
      </c>
      <c r="F4" t="s">
        <v>17</v>
      </c>
      <c r="G4">
        <v>1</v>
      </c>
      <c r="H4">
        <v>700</v>
      </c>
      <c r="I4">
        <f>(Table4[[#This Row],[Quantity]]*Table4[[#This Row],[Price]])</f>
        <v>700</v>
      </c>
      <c r="K4" s="10">
        <f>COUNT(Table4[Order_ID])</f>
        <v>12</v>
      </c>
    </row>
    <row r="5" spans="1:11" x14ac:dyDescent="0.3">
      <c r="A5">
        <v>1004</v>
      </c>
      <c r="B5" s="1">
        <v>45295</v>
      </c>
      <c r="C5" t="s">
        <v>18</v>
      </c>
      <c r="D5" t="str">
        <f ca="1">PROPER(TRIM(Table4[[#This Row],[City]]))</f>
        <v>Chennai</v>
      </c>
      <c r="E5" t="s">
        <v>19</v>
      </c>
      <c r="F5" t="s">
        <v>20</v>
      </c>
      <c r="G5">
        <v>2</v>
      </c>
      <c r="H5">
        <v>2500</v>
      </c>
      <c r="I5">
        <f>(Table4[[#This Row],[Quantity]]*Table4[[#This Row],[Price]])</f>
        <v>5000</v>
      </c>
      <c r="K5" s="11" t="s">
        <v>45</v>
      </c>
    </row>
    <row r="6" spans="1:11" x14ac:dyDescent="0.3">
      <c r="A6">
        <v>1005</v>
      </c>
      <c r="B6" s="1">
        <v>45296</v>
      </c>
      <c r="C6" t="s">
        <v>21</v>
      </c>
      <c r="D6" t="str">
        <f ca="1">PROPER(TRIM(Table4[[#This Row],[City]]))</f>
        <v>Delhi</v>
      </c>
      <c r="E6" t="s">
        <v>10</v>
      </c>
      <c r="F6" t="s">
        <v>23</v>
      </c>
      <c r="G6">
        <v>1</v>
      </c>
      <c r="H6">
        <v>1200</v>
      </c>
      <c r="I6">
        <f>(Table4[[#This Row],[Quantity]]*Table4[[#This Row],[Price]])</f>
        <v>1200</v>
      </c>
      <c r="K6" s="10">
        <f>SUM(Table4[Quantity])</f>
        <v>20</v>
      </c>
    </row>
    <row r="7" spans="1:11" x14ac:dyDescent="0.3">
      <c r="A7">
        <v>1006</v>
      </c>
      <c r="B7" s="1">
        <v>45297</v>
      </c>
      <c r="C7" t="s">
        <v>24</v>
      </c>
      <c r="D7" t="str">
        <f ca="1">PROPER(TRIM(Table4[[#This Row],[City]]))</f>
        <v>Bangalore</v>
      </c>
      <c r="E7" t="s">
        <v>13</v>
      </c>
      <c r="F7" t="s">
        <v>26</v>
      </c>
      <c r="G7">
        <v>2</v>
      </c>
      <c r="H7">
        <v>2000</v>
      </c>
      <c r="I7">
        <f>(Table4[[#This Row],[Quantity]]*Table4[[#This Row],[Price]])</f>
        <v>4000</v>
      </c>
      <c r="K7" s="11" t="s">
        <v>46</v>
      </c>
    </row>
    <row r="8" spans="1:11" x14ac:dyDescent="0.3">
      <c r="A8">
        <v>1007</v>
      </c>
      <c r="B8" s="1">
        <v>45298</v>
      </c>
      <c r="C8" t="s">
        <v>27</v>
      </c>
      <c r="D8" t="str">
        <f ca="1">PROPER(TRIM(Table4[[#This Row],[City]]))</f>
        <v>Mumbai</v>
      </c>
      <c r="E8" t="s">
        <v>19</v>
      </c>
      <c r="F8" t="s">
        <v>28</v>
      </c>
      <c r="G8">
        <v>1</v>
      </c>
      <c r="H8">
        <v>7000</v>
      </c>
      <c r="I8">
        <f>(Table4[[#This Row],[Quantity]]*Table4[[#This Row],[Price]])</f>
        <v>7000</v>
      </c>
      <c r="K8" s="13">
        <f>AVERAGE(Table4[Total_Amount])</f>
        <v>8250</v>
      </c>
    </row>
    <row r="9" spans="1:11" x14ac:dyDescent="0.3">
      <c r="A9">
        <v>1008</v>
      </c>
      <c r="B9" s="1">
        <v>45299</v>
      </c>
      <c r="C9" t="s">
        <v>29</v>
      </c>
      <c r="D9" t="str">
        <f ca="1">PROPER(TRIM(Table4[[#This Row],[City]]))</f>
        <v>Chennai</v>
      </c>
      <c r="E9" t="s">
        <v>10</v>
      </c>
      <c r="F9" t="s">
        <v>31</v>
      </c>
      <c r="G9">
        <v>1</v>
      </c>
      <c r="H9">
        <v>3000</v>
      </c>
      <c r="I9">
        <f>(Table4[[#This Row],[Quantity]]*Table4[[#This Row],[Price]])</f>
        <v>3000</v>
      </c>
    </row>
    <row r="10" spans="1:11" x14ac:dyDescent="0.3">
      <c r="A10">
        <v>1009</v>
      </c>
      <c r="B10" s="1">
        <v>45300</v>
      </c>
      <c r="C10" t="s">
        <v>32</v>
      </c>
      <c r="D10" t="str">
        <f ca="1">PROPER(TRIM(Table4[[#This Row],[City]]))</f>
        <v>Delhi</v>
      </c>
      <c r="E10" t="s">
        <v>13</v>
      </c>
      <c r="F10" t="s">
        <v>33</v>
      </c>
      <c r="G10">
        <v>2</v>
      </c>
      <c r="H10">
        <v>2500</v>
      </c>
      <c r="I10">
        <f>(Table4[[#This Row],[Quantity]]*Table4[[#This Row],[Price]])</f>
        <v>5000</v>
      </c>
    </row>
    <row r="11" spans="1:11" x14ac:dyDescent="0.3">
      <c r="A11">
        <v>1010</v>
      </c>
      <c r="B11" s="1">
        <v>45301</v>
      </c>
      <c r="C11" t="s">
        <v>34</v>
      </c>
      <c r="D11" t="str">
        <f ca="1">PROPER(TRIM(Table4[[#This Row],[City]]))</f>
        <v>Bangalore</v>
      </c>
      <c r="E11" t="s">
        <v>19</v>
      </c>
      <c r="F11" t="s">
        <v>35</v>
      </c>
      <c r="G11">
        <v>1</v>
      </c>
      <c r="H11" s="12">
        <v>15000</v>
      </c>
      <c r="I11" s="12">
        <v>15000</v>
      </c>
    </row>
    <row r="12" spans="1:11" x14ac:dyDescent="0.3">
      <c r="A12">
        <v>1011</v>
      </c>
      <c r="B12" s="1">
        <v>45302</v>
      </c>
      <c r="C12" t="s">
        <v>36</v>
      </c>
      <c r="D12" t="str">
        <f ca="1">PROPER(TRIM(Table4[[#This Row],[City]]))</f>
        <v>Mumbai</v>
      </c>
      <c r="E12" t="s">
        <v>10</v>
      </c>
      <c r="F12" t="s">
        <v>37</v>
      </c>
      <c r="G12">
        <v>1</v>
      </c>
      <c r="H12" s="12">
        <v>50000</v>
      </c>
      <c r="I12" s="12">
        <v>50000</v>
      </c>
    </row>
    <row r="13" spans="1:11" x14ac:dyDescent="0.3">
      <c r="A13">
        <v>1012</v>
      </c>
      <c r="B13" s="1">
        <v>45303</v>
      </c>
      <c r="C13" t="s">
        <v>38</v>
      </c>
      <c r="D13" t="str">
        <f ca="1">PROPER(TRIM(Table4[[#This Row],[City]]))</f>
        <v>Chennai</v>
      </c>
      <c r="E13" t="s">
        <v>13</v>
      </c>
      <c r="F13" t="s">
        <v>39</v>
      </c>
      <c r="G13">
        <v>3</v>
      </c>
      <c r="H13">
        <v>1200</v>
      </c>
      <c r="I13">
        <f>(Table4[[#This Row],[Quantity]]*Table4[[#This Row],[Price]])</f>
        <v>3600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24"/>
  <sheetViews>
    <sheetView workbookViewId="0">
      <selection activeCell="N8" sqref="N8"/>
    </sheetView>
  </sheetViews>
  <sheetFormatPr defaultRowHeight="14.4" x14ac:dyDescent="0.3"/>
  <cols>
    <col min="1" max="1" width="12.5546875" customWidth="1"/>
    <col min="2" max="2" width="19.77734375" bestFit="1" customWidth="1"/>
    <col min="12" max="12" width="9.109375" customWidth="1"/>
  </cols>
  <sheetData>
    <row r="3" spans="1:12" x14ac:dyDescent="0.3">
      <c r="A3" s="2" t="s">
        <v>40</v>
      </c>
      <c r="B3" t="s">
        <v>42</v>
      </c>
      <c r="L3" s="8"/>
    </row>
    <row r="4" spans="1:12" x14ac:dyDescent="0.3">
      <c r="A4" s="3" t="s">
        <v>25</v>
      </c>
      <c r="B4" s="4">
        <v>20500</v>
      </c>
      <c r="L4" s="3"/>
    </row>
    <row r="5" spans="1:12" x14ac:dyDescent="0.3">
      <c r="A5" s="3" t="s">
        <v>30</v>
      </c>
      <c r="B5" s="4">
        <v>14600</v>
      </c>
    </row>
    <row r="6" spans="1:12" x14ac:dyDescent="0.3">
      <c r="A6" s="3" t="s">
        <v>22</v>
      </c>
      <c r="B6" s="4">
        <v>6200</v>
      </c>
      <c r="L6" s="8"/>
    </row>
    <row r="7" spans="1:12" x14ac:dyDescent="0.3">
      <c r="A7" s="3" t="s">
        <v>16</v>
      </c>
      <c r="B7" s="4">
        <v>57700</v>
      </c>
      <c r="L7" s="6"/>
    </row>
    <row r="8" spans="1:12" x14ac:dyDescent="0.3">
      <c r="A8" s="3" t="s">
        <v>41</v>
      </c>
      <c r="B8" s="4">
        <v>99000</v>
      </c>
    </row>
    <row r="9" spans="1:12" x14ac:dyDescent="0.3">
      <c r="L9" s="7"/>
    </row>
    <row r="10" spans="1:12" x14ac:dyDescent="0.3">
      <c r="L10" s="3"/>
    </row>
    <row r="14" spans="1:12" x14ac:dyDescent="0.3">
      <c r="A14" s="3"/>
      <c r="B14" s="4"/>
    </row>
    <row r="15" spans="1:12" x14ac:dyDescent="0.3">
      <c r="A15" s="3"/>
      <c r="B15" s="4"/>
    </row>
    <row r="16" spans="1:12" x14ac:dyDescent="0.3">
      <c r="A16" s="3"/>
      <c r="B16" s="4"/>
    </row>
    <row r="17" spans="1:2" x14ac:dyDescent="0.3">
      <c r="A17" s="3"/>
      <c r="B17" s="4"/>
    </row>
    <row r="20" spans="1:2" x14ac:dyDescent="0.3">
      <c r="A20" s="2" t="s">
        <v>40</v>
      </c>
      <c r="B20" t="s">
        <v>42</v>
      </c>
    </row>
    <row r="21" spans="1:2" x14ac:dyDescent="0.3">
      <c r="A21" s="3" t="s">
        <v>13</v>
      </c>
      <c r="B21" s="4">
        <v>14100</v>
      </c>
    </row>
    <row r="22" spans="1:2" x14ac:dyDescent="0.3">
      <c r="A22" s="3" t="s">
        <v>10</v>
      </c>
      <c r="B22" s="4">
        <v>57900</v>
      </c>
    </row>
    <row r="23" spans="1:2" x14ac:dyDescent="0.3">
      <c r="A23" s="3" t="s">
        <v>19</v>
      </c>
      <c r="B23" s="4">
        <v>27000</v>
      </c>
    </row>
    <row r="24" spans="1:2" x14ac:dyDescent="0.3">
      <c r="A24" s="3" t="s">
        <v>41</v>
      </c>
      <c r="B24" s="4">
        <v>99000</v>
      </c>
    </row>
  </sheetData>
  <pageMargins left="0.7" right="0.7" top="0.75" bottom="0.75" header="0.3" footer="0.3"/>
  <pageSetup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8"/>
  <sheetViews>
    <sheetView zoomScale="101" workbookViewId="0">
      <selection activeCell="H31" sqref="H31"/>
    </sheetView>
  </sheetViews>
  <sheetFormatPr defaultRowHeight="14.4" x14ac:dyDescent="0.3"/>
  <sheetData>
    <row r="18" spans="4:4" x14ac:dyDescent="0.3">
      <c r="D18"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vt:lpstr>
      <vt:lpstr>Dashbroad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2026-04-19T12:48:29Z</dcterms:created>
  <dcterms:modified xsi:type="dcterms:W3CDTF">2026-04-20T09:35:36Z</dcterms:modified>
</cp:coreProperties>
</file>